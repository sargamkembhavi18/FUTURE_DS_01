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xr:revisionPtr revIDLastSave="0" documentId="8_{36E5390F-B282-4AF0-AE00-3F0AB475E5BF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Marketing_Data" sheetId="1" r:id="rId1"/>
    <sheet name="Marketing Dashboard" sheetId="2" r:id="rId2"/>
    <sheet name="Insights" sheetId="3" r:id="rId3"/>
  </sheets>
  <definedNames>
    <definedName name="_xlchart.v2.0" hidden="1">Marketing_Data!$A$11:$A$14</definedName>
    <definedName name="_xlchart.v2.1" hidden="1">Marketing_Data!$B$10</definedName>
    <definedName name="_xlchart.v2.2" hidden="1">Marketing_Data!$B$11:$B$14</definedName>
    <definedName name="_xlchart.v2.3" hidden="1">Marketing_Data!$A$11:$A$14</definedName>
    <definedName name="_xlchart.v2.4" hidden="1">Marketing_Data!$B$10</definedName>
    <definedName name="_xlchart.v2.5" hidden="1">Marketing_Data!$B$11:$B$14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H2" i="1" a="1"/>
  <c r="H2" i="1"/>
  <c r="G2" i="1" a="1"/>
  <c r="G2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<sst xmlns="http://schemas.openxmlformats.org/spreadsheetml/2006/main" count="30" uniqueCount="25">
  <si>
    <t>Channel</t>
  </si>
  <si>
    <t>Visitors</t>
  </si>
  <si>
    <t>Leads</t>
  </si>
  <si>
    <t>Signups</t>
  </si>
  <si>
    <t>Customers</t>
  </si>
  <si>
    <t>Lead Conversion</t>
  </si>
  <si>
    <t>Signup Conversion</t>
  </si>
  <si>
    <t>Customer Conversion</t>
  </si>
  <si>
    <t>Social Media</t>
  </si>
  <si>
    <t>Email</t>
  </si>
  <si>
    <t>Google Ads</t>
  </si>
  <si>
    <t>Direct</t>
  </si>
  <si>
    <t>Referral</t>
  </si>
  <si>
    <t>Stage</t>
  </si>
  <si>
    <t>Users</t>
  </si>
  <si>
    <t>FUNNEL CHART</t>
  </si>
  <si>
    <t>CUSTOMERS BY MARKETING CHANNEL</t>
  </si>
  <si>
    <t>CUSTOMER CONVERSION RATE BY CHANNEL</t>
  </si>
  <si>
    <t>CUSTOMERS BY CHANNEL</t>
  </si>
  <si>
    <t>CONVERSION RATE</t>
  </si>
  <si>
    <t>MARKETING FUNNEL INSIGHTS</t>
  </si>
  <si>
    <t>1. Social media brings the highest traffic but lower conversion.</t>
  </si>
  <si>
    <t>2. Email marketing generates the highest number of customers.</t>
  </si>
  <si>
    <t>3. Direct traffic has strong conversion performance.</t>
  </si>
  <si>
    <t>4. Major drop occurs between visitors and leads.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</si>
</sst>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Book Antiqua"/>
    </font>
    <font>
      <sz val="14"/>
      <color theme="1"/>
      <name val="Book Antiqua"/>
    </font>
    <font>
      <b/>
      <sz val="14"/>
      <color rgb="FF000000"/>
      <name val="Book Antiqu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0" fontId="1" fillId="0" borderId="0" xfId="0" applyNumberFormat="1" applyFont="1"/>
    <xf numFmtId="10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Marketing_Data!$A$1</c:f>
              <c:strCache>
                <c:ptCount val="1"/>
                <c:pt idx="0">
                  <c:v>Channel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Marketing_Data!$A$2:$A$15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A-42CD-B27E-0A7A3B69DF45}"/>
            </c:ext>
          </c:extLst>
        </c:ser>
        <c:ser>
          <c:idx val="1"/>
          <c:order val="1"/>
          <c:tx>
            <c:strRef>
              <c:f>Marketing_Data!$E$1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Marketing_Data!$E$2:$E$15</c:f>
              <c:numCache>
                <c:formatCode>General</c:formatCode>
                <c:ptCount val="14"/>
                <c:pt idx="0">
                  <c:v>120</c:v>
                </c:pt>
                <c:pt idx="1">
                  <c:v>200</c:v>
                </c:pt>
                <c:pt idx="2">
                  <c:v>100</c:v>
                </c:pt>
                <c:pt idx="3">
                  <c:v>150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FA-42CD-B27E-0A7A3B69D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846279"/>
        <c:axId val="1201848327"/>
      </c:barChart>
      <c:catAx>
        <c:axId val="1201846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848327"/>
        <c:crosses val="autoZero"/>
        <c:auto val="1"/>
        <c:lblAlgn val="ctr"/>
        <c:lblOffset val="100"/>
        <c:noMultiLvlLbl val="0"/>
      </c:catAx>
      <c:valAx>
        <c:axId val="1201848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846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Marketing_Data!$A$1</c:f>
              <c:strCache>
                <c:ptCount val="1"/>
                <c:pt idx="0">
                  <c:v>Channel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Marketing_Data!$A$2:$A$34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6-426C-9C75-D8408C620CBB}"/>
            </c:ext>
          </c:extLst>
        </c:ser>
        <c:ser>
          <c:idx val="1"/>
          <c:order val="1"/>
          <c:tx>
            <c:strRef>
              <c:f>Marketing_Data!$H$1</c:f>
              <c:strCache>
                <c:ptCount val="1"/>
                <c:pt idx="0">
                  <c:v>Customer Conversion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Marketing_Data!$H$2:$H$34</c:f>
              <c:numCache>
                <c:formatCode>0.00%</c:formatCode>
                <c:ptCount val="33"/>
                <c:pt idx="0">
                  <c:v>0.3</c:v>
                </c:pt>
                <c:pt idx="1">
                  <c:v>0.4</c:v>
                </c:pt>
                <c:pt idx="2">
                  <c:v>0.2857142857142857</c:v>
                </c:pt>
                <c:pt idx="3">
                  <c:v>0.5</c:v>
                </c:pt>
                <c:pt idx="4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D6-426C-9C75-D8408C620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8147592"/>
        <c:axId val="398149640"/>
      </c:barChart>
      <c:catAx>
        <c:axId val="39814759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149640"/>
        <c:crosses val="autoZero"/>
        <c:auto val="1"/>
        <c:lblAlgn val="ctr"/>
        <c:lblOffset val="100"/>
        <c:noMultiLvlLbl val="0"/>
      </c:catAx>
      <c:valAx>
        <c:axId val="39814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147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Marketing_Data!$A$1</c:f>
              <c:strCache>
                <c:ptCount val="1"/>
                <c:pt idx="0">
                  <c:v>Channel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Marketing_Data!$A$2:$A$15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D-4473-9D85-43A7276FFBF9}"/>
            </c:ext>
          </c:extLst>
        </c:ser>
        <c:ser>
          <c:idx val="1"/>
          <c:order val="1"/>
          <c:tx>
            <c:strRef>
              <c:f>Marketing_Data!$E$1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Marketing_Data!$E$2:$E$15</c:f>
              <c:numCache>
                <c:formatCode>General</c:formatCode>
                <c:ptCount val="14"/>
                <c:pt idx="0">
                  <c:v>120</c:v>
                </c:pt>
                <c:pt idx="1">
                  <c:v>200</c:v>
                </c:pt>
                <c:pt idx="2">
                  <c:v>100</c:v>
                </c:pt>
                <c:pt idx="3">
                  <c:v>150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ED-4473-9D85-43A7276FF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846279"/>
        <c:axId val="1201848327"/>
      </c:barChart>
      <c:catAx>
        <c:axId val="1201846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848327"/>
        <c:crosses val="autoZero"/>
        <c:auto val="1"/>
        <c:lblAlgn val="ctr"/>
        <c:lblOffset val="100"/>
        <c:noMultiLvlLbl val="0"/>
      </c:catAx>
      <c:valAx>
        <c:axId val="1201848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846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Marketing_Data!$A$1</c:f>
              <c:strCache>
                <c:ptCount val="1"/>
                <c:pt idx="0">
                  <c:v>Channel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Marketing_Data!$A$2:$A$34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7-40E3-B7F9-E35FC4D5F5D5}"/>
            </c:ext>
          </c:extLst>
        </c:ser>
        <c:ser>
          <c:idx val="1"/>
          <c:order val="1"/>
          <c:tx>
            <c:strRef>
              <c:f>Marketing_Data!$H$1</c:f>
              <c:strCache>
                <c:ptCount val="1"/>
                <c:pt idx="0">
                  <c:v>Customer Conversion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Marketing_Data!$H$2:$H$34</c:f>
              <c:numCache>
                <c:formatCode>0.00%</c:formatCode>
                <c:ptCount val="33"/>
                <c:pt idx="0">
                  <c:v>0.3</c:v>
                </c:pt>
                <c:pt idx="1">
                  <c:v>0.4</c:v>
                </c:pt>
                <c:pt idx="2">
                  <c:v>0.2857142857142857</c:v>
                </c:pt>
                <c:pt idx="3">
                  <c:v>0.5</c:v>
                </c:pt>
                <c:pt idx="4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37-40E3-B7F9-E35FC4D5F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8147592"/>
        <c:axId val="398149640"/>
      </c:barChart>
      <c:catAx>
        <c:axId val="39814759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149640"/>
        <c:crosses val="autoZero"/>
        <c:auto val="1"/>
        <c:lblAlgn val="ctr"/>
        <c:lblOffset val="100"/>
        <c:noMultiLvlLbl val="0"/>
      </c:catAx>
      <c:valAx>
        <c:axId val="39814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147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funnel" uniqueId="{00000000-A318-4EBB-81DB-E53282B08AAE}">
          <cx:tx>
            <cx:txData>
              <cx:f>_xlchart.v2.1</cx:f>
              <cx:v>Users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funnel" uniqueId="{00000000-A318-4EBB-81DB-E53282B08AAE}">
          <cx:tx>
            <cx:txData>
              <cx:f>_xlchart.v2.4</cx:f>
              <cx:v>Users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771525</xdr:colOff>
      <xdr:row>18</xdr:row>
      <xdr:rowOff>152400</xdr:rowOff>
    </xdr:from>
    <xdr:to>
      <xdr:col>6</xdr:col>
      <xdr:colOff>104775</xdr:colOff>
      <xdr:row>31</xdr:row>
      <xdr:rowOff>47625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17D43C2-74F9-5A37-7F2C-AB797C4FAE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1525" y="3581400"/>
              <a:ext cx="4019550" cy="2371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85725</xdr:colOff>
      <xdr:row>18</xdr:row>
      <xdr:rowOff>123825</xdr:rowOff>
    </xdr:from>
    <xdr:to>
      <xdr:col>11</xdr:col>
      <xdr:colOff>19050</xdr:colOff>
      <xdr:row>31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59B7FC-D9D0-7345-1A4A-DC9C43C098B8}"/>
            </a:ext>
            <a:ext uri="{147F2762-F138-4A5C-976F-8EAC2B608ADB}">
              <a16:predDERef xmlns:a16="http://schemas.microsoft.com/office/drawing/2014/main" pred="{217D43C2-74F9-5A37-7F2C-AB797C4FA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114300</xdr:colOff>
      <xdr:row>38</xdr:row>
      <xdr:rowOff>28575</xdr:rowOff>
    </xdr:from>
    <xdr:to>
      <xdr:col>6</xdr:col>
      <xdr:colOff>781050</xdr:colOff>
      <xdr:row>52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D2E229-0BFC-3D75-8302-30312B511C1C}"/>
            </a:ext>
            <a:ext uri="{147F2762-F138-4A5C-976F-8EAC2B608ADB}">
              <a16:predDERef xmlns:a16="http://schemas.microsoft.com/office/drawing/2014/main" pred="{0259B7FC-D9D0-7345-1A4A-DC9C43C09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5</xdr:col>
      <xdr:colOff>476250</xdr:colOff>
      <xdr:row>17</xdr:row>
      <xdr:rowOff>85725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83C27D3-53AD-4DB4-8C1F-6FEB631552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1000125"/>
              <a:ext cx="4019550" cy="2371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590550</xdr:colOff>
      <xdr:row>23</xdr:row>
      <xdr:rowOff>9525</xdr:rowOff>
    </xdr:from>
    <xdr:to>
      <xdr:col>6</xdr:col>
      <xdr:colOff>0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078AFD-D261-41D3-B6A6-40E06C7F2A91}"/>
            </a:ext>
            <a:ext uri="{147F2762-F138-4A5C-976F-8EAC2B608ADB}">
              <a16:predDERef xmlns:a16="http://schemas.microsoft.com/office/drawing/2014/main" pred="{583C27D3-53AD-4DB4-8C1F-6FEB63155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371475</xdr:colOff>
      <xdr:row>22</xdr:row>
      <xdr:rowOff>161925</xdr:rowOff>
    </xdr:from>
    <xdr:to>
      <xdr:col>13</xdr:col>
      <xdr:colOff>581025</xdr:colOff>
      <xdr:row>37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F120B2-6B57-4C4B-AFE7-9EF9B4D499C0}"/>
            </a:ext>
            <a:ext uri="{147F2762-F138-4A5C-976F-8EAC2B608ADB}">
              <a16:predDERef xmlns:a16="http://schemas.microsoft.com/office/drawing/2014/main" pred="{23078AFD-D261-41D3-B6A6-40E06C7F2A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opLeftCell="A28" workbookViewId="0">
      <selection activeCell="J37" sqref="J37"/>
    </sheetView>
  </sheetViews>
  <sheetFormatPr defaultRowHeight="15"/>
  <cols>
    <col min="1" max="1" width="11.7109375" bestFit="1" customWidth="1"/>
    <col min="4" max="4" width="14.42578125" bestFit="1" customWidth="1"/>
    <col min="5" max="5" width="10.28515625" bestFit="1" customWidth="1"/>
    <col min="6" max="6" width="15.5703125" style="3" bestFit="1" customWidth="1"/>
    <col min="7" max="7" width="16.85546875" style="3" bestFit="1" customWidth="1"/>
    <col min="8" max="8" width="19.42578125" style="3" bestFit="1" customWidth="1"/>
    <col min="10" max="10" width="3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5000</v>
      </c>
      <c r="C2">
        <v>800</v>
      </c>
      <c r="D2">
        <v>400</v>
      </c>
      <c r="E2">
        <v>120</v>
      </c>
      <c r="F2" s="3">
        <f>C2/B2</f>
        <v>0.16</v>
      </c>
      <c r="G2" s="3" cm="1">
        <f t="array" ref="G2:G6">D2:D6/C2:C6</f>
        <v>0.5</v>
      </c>
      <c r="H2" s="3" cm="1">
        <f t="array" ref="H2:H6">E2:E6/D2:D6</f>
        <v>0.3</v>
      </c>
    </row>
    <row r="3" spans="1:8">
      <c r="A3" t="s">
        <v>9</v>
      </c>
      <c r="B3">
        <v>3000</v>
      </c>
      <c r="C3">
        <v>900</v>
      </c>
      <c r="D3">
        <v>500</v>
      </c>
      <c r="E3">
        <v>200</v>
      </c>
      <c r="F3" s="3">
        <f>C3/B3</f>
        <v>0.3</v>
      </c>
      <c r="G3" s="3">
        <v>0.55555555555555558</v>
      </c>
      <c r="H3" s="3">
        <v>0.4</v>
      </c>
    </row>
    <row r="4" spans="1:8">
      <c r="A4" t="s">
        <v>10</v>
      </c>
      <c r="B4">
        <v>4000</v>
      </c>
      <c r="C4">
        <v>700</v>
      </c>
      <c r="D4">
        <v>350</v>
      </c>
      <c r="E4">
        <v>100</v>
      </c>
      <c r="F4" s="3">
        <f>C4/B4</f>
        <v>0.17499999999999999</v>
      </c>
      <c r="G4" s="3">
        <v>0.5</v>
      </c>
      <c r="H4" s="3">
        <v>0.2857142857142857</v>
      </c>
    </row>
    <row r="5" spans="1:8">
      <c r="A5" t="s">
        <v>11</v>
      </c>
      <c r="B5">
        <v>2000</v>
      </c>
      <c r="C5">
        <v>600</v>
      </c>
      <c r="D5">
        <v>300</v>
      </c>
      <c r="E5">
        <v>150</v>
      </c>
      <c r="F5" s="3">
        <f>C5/B5</f>
        <v>0.3</v>
      </c>
      <c r="G5" s="3">
        <v>0.5</v>
      </c>
      <c r="H5" s="3">
        <v>0.5</v>
      </c>
    </row>
    <row r="6" spans="1:8">
      <c r="A6" t="s">
        <v>12</v>
      </c>
      <c r="B6">
        <v>1500</v>
      </c>
      <c r="C6">
        <v>450</v>
      </c>
      <c r="D6">
        <v>250</v>
      </c>
      <c r="E6">
        <v>120</v>
      </c>
      <c r="F6" s="3">
        <f>C6/B6</f>
        <v>0.3</v>
      </c>
      <c r="G6" s="3">
        <v>0.55555555555555558</v>
      </c>
      <c r="H6" s="3">
        <v>0.48</v>
      </c>
    </row>
    <row r="10" spans="1:8">
      <c r="A10" s="1" t="s">
        <v>13</v>
      </c>
      <c r="B10" s="1" t="s">
        <v>14</v>
      </c>
    </row>
    <row r="11" spans="1:8">
      <c r="A11" t="s">
        <v>1</v>
      </c>
      <c r="B11">
        <f>SUM(B2:B6)</f>
        <v>15500</v>
      </c>
    </row>
    <row r="12" spans="1:8">
      <c r="A12" t="s">
        <v>2</v>
      </c>
      <c r="B12">
        <f>SUM(C2:C6)</f>
        <v>3450</v>
      </c>
    </row>
    <row r="13" spans="1:8">
      <c r="A13" t="s">
        <v>3</v>
      </c>
      <c r="B13">
        <f>SUM(D2:D6)</f>
        <v>1800</v>
      </c>
    </row>
    <row r="14" spans="1:8">
      <c r="A14" t="s">
        <v>4</v>
      </c>
      <c r="B14">
        <f>SUM(E2:E6)</f>
        <v>690</v>
      </c>
    </row>
    <row r="17" spans="4:10">
      <c r="D17" s="1" t="s">
        <v>15</v>
      </c>
      <c r="J17" s="1" t="s">
        <v>16</v>
      </c>
    </row>
    <row r="34" spans="4:4">
      <c r="D34" s="1"/>
    </row>
    <row r="37" spans="4:4">
      <c r="D37" s="1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42D9-3FA1-4975-8BFE-74D4BDC440F6}">
  <dimension ref="B4:K22"/>
  <sheetViews>
    <sheetView topLeftCell="A14" workbookViewId="0">
      <selection activeCell="N19" sqref="N19"/>
    </sheetView>
  </sheetViews>
  <sheetFormatPr defaultRowHeight="15"/>
  <cols>
    <col min="2" max="2" width="25.7109375" bestFit="1" customWidth="1"/>
    <col min="3" max="3" width="36.5703125" bestFit="1" customWidth="1"/>
    <col min="11" max="11" width="28.85546875" bestFit="1" customWidth="1"/>
  </cols>
  <sheetData>
    <row r="4" spans="2:3" ht="18.75">
      <c r="B4" s="5"/>
      <c r="C4" s="5" t="s">
        <v>15</v>
      </c>
    </row>
    <row r="21" spans="3:11" ht="18.75">
      <c r="C21" s="5"/>
    </row>
    <row r="22" spans="3:11" ht="36.75">
      <c r="C22" s="6" t="s">
        <v>18</v>
      </c>
      <c r="K22" s="7" t="s">
        <v>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D8C7-57E2-4C85-B186-DB797ADC9412}">
  <dimension ref="B3:F9"/>
  <sheetViews>
    <sheetView tabSelected="1" workbookViewId="0">
      <selection activeCell="B3" sqref="B3"/>
    </sheetView>
  </sheetViews>
  <sheetFormatPr defaultRowHeight="15"/>
  <cols>
    <col min="2" max="2" width="76" customWidth="1"/>
    <col min="6" max="6" width="36.5703125" bestFit="1" customWidth="1"/>
  </cols>
  <sheetData>
    <row r="3" spans="2:6" ht="18.75">
      <c r="B3" s="6" t="s">
        <v>20</v>
      </c>
      <c r="F3" s="8"/>
    </row>
    <row r="6" spans="2:6" ht="29.25">
      <c r="B6" s="4" t="s">
        <v>21</v>
      </c>
    </row>
    <row r="7" spans="2:6" ht="29.25">
      <c r="B7" s="4" t="s">
        <v>22</v>
      </c>
    </row>
    <row r="8" spans="2:6" ht="29.25">
      <c r="B8" s="4" t="s">
        <v>23</v>
      </c>
    </row>
    <row r="9" spans="2:6" ht="29.25">
      <c r="B9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2026-03-11T09:14:01Z</dcterms:created>
  <dcterms:modified xsi:type="dcterms:W3CDTF">2026-03-11T18:03:23Z</dcterms:modified>
  <cp:category/>
  <cp:contentStatus/>
</cp:coreProperties>
</file>